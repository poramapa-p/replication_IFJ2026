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dd92943edbf562/MU/paper1/Replication/script/"/>
    </mc:Choice>
  </mc:AlternateContent>
  <xr:revisionPtr revIDLastSave="2" documentId="8_{B236CF06-01C8-484B-AA07-CFA83F2007F1}" xr6:coauthVersionLast="47" xr6:coauthVersionMax="47" xr10:uidLastSave="{A0C8732E-8BD7-4CF9-841B-1B5AF50146A1}"/>
  <bookViews>
    <workbookView xWindow="0" yWindow="5595" windowWidth="38700" windowHeight="15285" xr2:uid="{BD776BE6-E283-4804-88D5-04B8DBDC83ED}"/>
  </bookViews>
  <sheets>
    <sheet name="HH_subj" sheetId="1" r:id="rId1"/>
  </sheets>
  <definedNames>
    <definedName name="_xlnm._FilterDatabase" localSheetId="0" hidden="1">HH_subj!$A$1:$E$1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1" l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4" i="1"/>
  <c r="L5" i="1"/>
  <c r="L6" i="1"/>
  <c r="L7" i="1"/>
  <c r="L8" i="1"/>
  <c r="L9" i="1"/>
  <c r="L10" i="1"/>
  <c r="L11" i="1"/>
  <c r="E24" i="1"/>
  <c r="E29" i="1"/>
  <c r="E31" i="1"/>
  <c r="E32" i="1"/>
  <c r="E40" i="1" l="1"/>
  <c r="E49" i="1"/>
  <c r="E37" i="1"/>
  <c r="E9" i="1"/>
  <c r="E28" i="1"/>
  <c r="E44" i="1"/>
  <c r="E18" i="1"/>
  <c r="E17" i="1"/>
  <c r="E7" i="1"/>
  <c r="E5" i="1"/>
  <c r="E21" i="1"/>
  <c r="E33" i="1"/>
  <c r="E30" i="1"/>
  <c r="E13" i="1"/>
  <c r="E41" i="1"/>
  <c r="E39" i="1"/>
  <c r="E43" i="1"/>
  <c r="E38" i="1"/>
  <c r="E35" i="1"/>
  <c r="E36" i="1"/>
  <c r="E48" i="1"/>
  <c r="E46" i="1"/>
  <c r="E34" i="1"/>
  <c r="E25" i="1"/>
  <c r="E12" i="1"/>
  <c r="E50" i="1"/>
  <c r="E15" i="1"/>
  <c r="E11" i="1"/>
  <c r="E27" i="1"/>
  <c r="E47" i="1"/>
  <c r="E42" i="1"/>
  <c r="E45" i="1"/>
  <c r="E53" i="1"/>
  <c r="E51" i="1"/>
  <c r="E52" i="1"/>
  <c r="E6" i="1"/>
  <c r="E4" i="1"/>
  <c r="E3" i="1"/>
  <c r="E2" i="1"/>
  <c r="E16" i="1"/>
  <c r="E14" i="1"/>
  <c r="E23" i="1"/>
  <c r="E8" i="1"/>
  <c r="E22" i="1"/>
  <c r="E20" i="1"/>
  <c r="E26" i="1"/>
  <c r="E19" i="1"/>
  <c r="E10" i="1"/>
  <c r="K4" i="1" l="1"/>
  <c r="K5" i="1"/>
  <c r="K7" i="1"/>
  <c r="K27" i="1"/>
  <c r="K8" i="1"/>
  <c r="K28" i="1"/>
  <c r="K9" i="1"/>
  <c r="K29" i="1"/>
  <c r="K10" i="1"/>
  <c r="K30" i="1"/>
  <c r="K12" i="1"/>
  <c r="K13" i="1"/>
  <c r="K6" i="1"/>
  <c r="K18" i="1"/>
  <c r="K20" i="1"/>
  <c r="K25" i="1"/>
  <c r="K11" i="1"/>
  <c r="K31" i="1"/>
  <c r="K32" i="1"/>
  <c r="K33" i="1"/>
  <c r="K17" i="1"/>
  <c r="K19" i="1"/>
  <c r="K3" i="1"/>
  <c r="K26" i="1"/>
  <c r="K14" i="1"/>
  <c r="K34" i="1"/>
  <c r="K15" i="1"/>
  <c r="K16" i="1"/>
  <c r="K24" i="1"/>
  <c r="K21" i="1"/>
  <c r="K22" i="1"/>
  <c r="K2" i="1"/>
  <c r="K23" i="1"/>
</calcChain>
</file>

<file path=xl/sharedStrings.xml><?xml version="1.0" encoding="utf-8"?>
<sst xmlns="http://schemas.openxmlformats.org/spreadsheetml/2006/main" count="114" uniqueCount="18">
  <si>
    <t>coef</t>
  </si>
  <si>
    <t>se</t>
  </si>
  <si>
    <t>epu</t>
  </si>
  <si>
    <t>ju</t>
  </si>
  <si>
    <t>dis</t>
  </si>
  <si>
    <t>dailyepu</t>
  </si>
  <si>
    <t>t-stat</t>
  </si>
  <si>
    <t>Bin</t>
  </si>
  <si>
    <t>More</t>
  </si>
  <si>
    <t>Less</t>
  </si>
  <si>
    <t>Subjective uncertainty</t>
  </si>
  <si>
    <t>Macro uncertainty</t>
  </si>
  <si>
    <t>mam</t>
  </si>
  <si>
    <t>gbd</t>
  </si>
  <si>
    <t>erps</t>
  </si>
  <si>
    <t>span</t>
  </si>
  <si>
    <t>eprs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</si>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</sst>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wdUpDiag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466-48C0-A537-8E6AA5D68C2F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66-48C0-A537-8E6AA5D68C2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466-48C0-A537-8E6AA5D68C2F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466-48C0-A537-8E6AA5D68C2F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466-48C0-A537-8E6AA5D68C2F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466-48C0-A537-8E6AA5D68C2F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466-48C0-A537-8E6AA5D68C2F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466-48C0-A537-8E6AA5D68C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HH_subj!$L$3:$L$34</c:f>
              <c:strCache>
                <c:ptCount val="32"/>
                <c:pt idx="0">
                  <c:v>Less</c:v>
                </c:pt>
                <c:pt idx="1">
                  <c:v>[-2.7,-2.85)</c:v>
                </c:pt>
                <c:pt idx="2">
                  <c:v>[-2.55,-2.7)</c:v>
                </c:pt>
                <c:pt idx="3">
                  <c:v>[-2.4,-2.55)</c:v>
                </c:pt>
                <c:pt idx="4">
                  <c:v>[-2.25,-2.4)</c:v>
                </c:pt>
                <c:pt idx="5">
                  <c:v>[-2.1,-2.25)</c:v>
                </c:pt>
                <c:pt idx="6">
                  <c:v>[-1.95,-2.1)</c:v>
                </c:pt>
                <c:pt idx="7">
                  <c:v>[-1.8,-1.95)</c:v>
                </c:pt>
                <c:pt idx="8">
                  <c:v>[-1.65,-1.8)</c:v>
                </c:pt>
                <c:pt idx="9">
                  <c:v>[-1.5,-1.65)</c:v>
                </c:pt>
                <c:pt idx="10">
                  <c:v>[-1.35,-1.5)</c:v>
                </c:pt>
                <c:pt idx="11">
                  <c:v>[-1.2,-1.35)</c:v>
                </c:pt>
                <c:pt idx="12">
                  <c:v>[-1.05,-1.2)</c:v>
                </c:pt>
                <c:pt idx="13">
                  <c:v>[-0.9,-1.05)</c:v>
                </c:pt>
                <c:pt idx="14">
                  <c:v>[-0.75,-0.9)</c:v>
                </c:pt>
                <c:pt idx="15">
                  <c:v>[-0.6,-0.75)</c:v>
                </c:pt>
                <c:pt idx="16">
                  <c:v>[-0.45,-0.6)</c:v>
                </c:pt>
                <c:pt idx="17">
                  <c:v>[-0.3,-0.45)</c:v>
                </c:pt>
                <c:pt idx="18">
                  <c:v>[-0.15,-0.3)</c:v>
                </c:pt>
                <c:pt idx="19">
                  <c:v>[0,-0.15)</c:v>
                </c:pt>
                <c:pt idx="20">
                  <c:v>[0.15,0)</c:v>
                </c:pt>
                <c:pt idx="21">
                  <c:v>[0.3,0.15)</c:v>
                </c:pt>
                <c:pt idx="22">
                  <c:v>[0.45,0.3)</c:v>
                </c:pt>
                <c:pt idx="23">
                  <c:v>[0.6,0.45)</c:v>
                </c:pt>
                <c:pt idx="24">
                  <c:v>[0.75,0.6)</c:v>
                </c:pt>
                <c:pt idx="25">
                  <c:v>[0.9,0.75)</c:v>
                </c:pt>
                <c:pt idx="26">
                  <c:v>[1.05,0.9)</c:v>
                </c:pt>
                <c:pt idx="27">
                  <c:v>[1.2,1.05)</c:v>
                </c:pt>
                <c:pt idx="28">
                  <c:v>[1.35,1.2)</c:v>
                </c:pt>
                <c:pt idx="29">
                  <c:v>[1.5,1.35)</c:v>
                </c:pt>
                <c:pt idx="30">
                  <c:v>[1.65,1.5)</c:v>
                </c:pt>
                <c:pt idx="31">
                  <c:v>More</c:v>
                </c:pt>
              </c:strCache>
            </c:strRef>
          </c:cat>
          <c:val>
            <c:numRef>
              <c:f>HH_subj!$K$3:$K$34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6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HH_subj!#REF!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0-B466-48C0-A537-8E6AA5D68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-27"/>
        <c:axId val="1913373039"/>
        <c:axId val="1913373519"/>
      </c:barChart>
      <c:catAx>
        <c:axId val="191337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ID4096"/>
          </a:p>
        </c:txPr>
        <c:crossAx val="1913373519"/>
        <c:crosses val="autoZero"/>
        <c:auto val="1"/>
        <c:lblAlgn val="ctr"/>
        <c:lblOffset val="100"/>
        <c:tickMarkSkip val="5"/>
        <c:noMultiLvlLbl val="0"/>
      </c:catAx>
      <c:valAx>
        <c:axId val="1913373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ID4096"/>
          </a:p>
        </c:txPr>
        <c:crossAx val="191337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582706</xdr:colOff>
      <xdr:row>5</xdr:row>
      <xdr:rowOff>145676</xdr:rowOff>
    </xdr:from>
    <xdr:to>
      <xdr:col>34</xdr:col>
      <xdr:colOff>503788</xdr:colOff>
      <xdr:row>28</xdr:row>
      <xdr:rowOff>160644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5B5389-6C4A-42D7-AD71-C5AB853C1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453838</xdr:colOff>
      <xdr:row>6</xdr:row>
      <xdr:rowOff>17930</xdr:rowOff>
    </xdr:from>
    <xdr:to>
      <xdr:col>26</xdr:col>
      <xdr:colOff>453838</xdr:colOff>
      <xdr:row>24</xdr:row>
      <xdr:rowOff>7845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5110BFF-EC55-4536-A56E-3F75B3CC6594}"/>
            </a:ext>
          </a:extLst>
        </xdr:cNvPr>
        <xdr:cNvCxnSpPr/>
      </xdr:nvCxnSpPr>
      <xdr:spPr>
        <a:xfrm flipV="1">
          <a:off x="17116985" y="1160930"/>
          <a:ext cx="0" cy="3418915"/>
        </a:xfrm>
        <a:prstGeom prst="line">
          <a:avLst/>
        </a:prstGeom>
        <a:ln w="38100">
          <a:solidFill>
            <a:schemeClr val="tx2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429347</xdr:colOff>
      <xdr:row>6</xdr:row>
      <xdr:rowOff>135431</xdr:rowOff>
    </xdr:from>
    <xdr:to>
      <xdr:col>30</xdr:col>
      <xdr:colOff>522194</xdr:colOff>
      <xdr:row>7</xdr:row>
      <xdr:rowOff>174813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B4FE0E4-B6A8-4CED-978A-62BE0FAE0040}"/>
            </a:ext>
          </a:extLst>
        </xdr:cNvPr>
        <xdr:cNvSpPr txBox="1"/>
      </xdr:nvSpPr>
      <xdr:spPr>
        <a:xfrm>
          <a:off x="14672023" y="1278431"/>
          <a:ext cx="4933789" cy="229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Negative coefficients        Positive coefficients</a:t>
          </a:r>
          <a:endParaRPr lang="LID4096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555811</xdr:colOff>
      <xdr:row>8</xdr:row>
      <xdr:rowOff>29135</xdr:rowOff>
    </xdr:from>
    <xdr:to>
      <xdr:col>26</xdr:col>
      <xdr:colOff>295339</xdr:colOff>
      <xdr:row>8</xdr:row>
      <xdr:rowOff>29135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524977D-5B58-4858-98A7-B0D696E0C56C}"/>
            </a:ext>
          </a:extLst>
        </xdr:cNvPr>
        <xdr:cNvCxnSpPr/>
      </xdr:nvCxnSpPr>
      <xdr:spPr>
        <a:xfrm flipH="1">
          <a:off x="14798487" y="1553135"/>
          <a:ext cx="2159999" cy="0"/>
        </a:xfrm>
        <a:prstGeom prst="straightConnector1">
          <a:avLst/>
        </a:prstGeom>
        <a:ln w="38100">
          <a:solidFill>
            <a:schemeClr val="tx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103094</xdr:colOff>
      <xdr:row>8</xdr:row>
      <xdr:rowOff>24653</xdr:rowOff>
    </xdr:from>
    <xdr:to>
      <xdr:col>30</xdr:col>
      <xdr:colOff>447742</xdr:colOff>
      <xdr:row>8</xdr:row>
      <xdr:rowOff>24653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90922F6-7C98-405D-B33C-A943091640AF}"/>
            </a:ext>
          </a:extLst>
        </xdr:cNvPr>
        <xdr:cNvCxnSpPr/>
      </xdr:nvCxnSpPr>
      <xdr:spPr>
        <a:xfrm>
          <a:off x="17371359" y="1548653"/>
          <a:ext cx="2160001" cy="0"/>
        </a:xfrm>
        <a:prstGeom prst="straightConnector1">
          <a:avLst/>
        </a:prstGeom>
        <a:ln w="38100">
          <a:solidFill>
            <a:schemeClr val="tx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B3CA9-E067-4B2F-BF83-E767AC96FA8E}">
  <dimension ref="A1:L53"/>
  <sheetViews>
    <sheetView tabSelected="1" zoomScale="85" zoomScaleNormal="85" workbookViewId="0">
      <selection activeCell="K4" sqref="K4"/>
    </sheetView>
  </sheetViews>
  <sheetFormatPr defaultRowHeight="15" x14ac:dyDescent="0.25"/>
  <cols>
    <col min="1" max="1" width="21.42578125" bestFit="1" customWidth="1"/>
    <col min="12" max="12" width="10.5703125" bestFit="1" customWidth="1"/>
  </cols>
  <sheetData>
    <row r="1" spans="1:12" x14ac:dyDescent="0.25">
      <c r="A1" t="s">
        <v>11</v>
      </c>
      <c r="B1" t="s">
        <v>10</v>
      </c>
      <c r="C1" t="s">
        <v>0</v>
      </c>
      <c r="D1" t="s">
        <v>1</v>
      </c>
      <c r="E1" t="s">
        <v>6</v>
      </c>
      <c r="J1" s="2" t="s">
        <v>7</v>
      </c>
      <c r="K1" t="s">
        <v>17</v>
      </c>
    </row>
    <row r="2" spans="1:12" x14ac:dyDescent="0.25">
      <c r="A2" t="s">
        <v>5</v>
      </c>
      <c r="B2" t="s">
        <v>12</v>
      </c>
      <c r="C2">
        <v>-2.1299999999999999E-2</v>
      </c>
      <c r="D2">
        <v>7.5700000000000003E-3</v>
      </c>
      <c r="E2" s="3">
        <f t="shared" ref="E2:E33" si="0">C2/D2</f>
        <v>-2.8137384412153232</v>
      </c>
      <c r="J2">
        <v>-3</v>
      </c>
      <c r="K2">
        <f t="shared" ref="K2:K5" si="1">COUNTIFS($E$2:$E$53,"&lt;="&amp;J2,$E$2:$E$53,"&gt;"&amp;J2-0.15)</f>
        <v>0</v>
      </c>
    </row>
    <row r="3" spans="1:12" x14ac:dyDescent="0.25">
      <c r="A3" t="s">
        <v>5</v>
      </c>
      <c r="B3" t="s">
        <v>12</v>
      </c>
      <c r="C3">
        <v>-1.89E-2</v>
      </c>
      <c r="D3">
        <v>7.2700000000000004E-3</v>
      </c>
      <c r="E3" s="3">
        <f t="shared" si="0"/>
        <v>-2.5997248968363134</v>
      </c>
      <c r="J3">
        <v>-2.85</v>
      </c>
      <c r="K3">
        <f t="shared" si="1"/>
        <v>0</v>
      </c>
      <c r="L3" t="s">
        <v>9</v>
      </c>
    </row>
    <row r="4" spans="1:12" x14ac:dyDescent="0.25">
      <c r="A4" t="s">
        <v>5</v>
      </c>
      <c r="B4" t="s">
        <v>12</v>
      </c>
      <c r="C4">
        <v>-2.1100000000000001E-2</v>
      </c>
      <c r="D4">
        <v>8.43E-3</v>
      </c>
      <c r="E4" s="3">
        <f t="shared" si="0"/>
        <v>-2.5029655990510085</v>
      </c>
      <c r="J4">
        <v>-2.7</v>
      </c>
      <c r="K4">
        <f t="shared" si="1"/>
        <v>1</v>
      </c>
      <c r="L4" t="str">
        <f t="shared" ref="L4:L33" si="2">"["&amp;J4&amp;","&amp;J4-0.15&amp;")"</f>
        <v>[-2.7,-2.85)</v>
      </c>
    </row>
    <row r="5" spans="1:12" x14ac:dyDescent="0.25">
      <c r="A5" t="s">
        <v>2</v>
      </c>
      <c r="B5" t="s">
        <v>12</v>
      </c>
      <c r="C5">
        <v>-4.2700000000000002E-2</v>
      </c>
      <c r="D5">
        <v>1.7600000000000001E-2</v>
      </c>
      <c r="E5" s="3">
        <f t="shared" si="0"/>
        <v>-2.4261363636363638</v>
      </c>
      <c r="J5">
        <v>-2.5499999999999998</v>
      </c>
      <c r="K5">
        <f t="shared" si="1"/>
        <v>1</v>
      </c>
      <c r="L5" t="str">
        <f t="shared" si="2"/>
        <v>[-2.55,-2.7)</v>
      </c>
    </row>
    <row r="6" spans="1:12" x14ac:dyDescent="0.25">
      <c r="A6" t="s">
        <v>5</v>
      </c>
      <c r="B6" t="s">
        <v>12</v>
      </c>
      <c r="C6">
        <v>-2.0400000000000001E-2</v>
      </c>
      <c r="D6">
        <v>8.4399999999999996E-3</v>
      </c>
      <c r="E6" s="3">
        <f t="shared" si="0"/>
        <v>-2.4170616113744079</v>
      </c>
      <c r="J6">
        <v>-2.4</v>
      </c>
      <c r="K6">
        <f>COUNTIFS($E$2:$E$53,"&lt;="&amp;J6,$E$2:$E$53,"&gt;"&amp;J6-0.15)</f>
        <v>3</v>
      </c>
      <c r="L6" t="str">
        <f t="shared" si="2"/>
        <v>[-2.4,-2.55)</v>
      </c>
    </row>
    <row r="7" spans="1:12" x14ac:dyDescent="0.25">
      <c r="A7" t="s">
        <v>2</v>
      </c>
      <c r="B7" t="s">
        <v>15</v>
      </c>
      <c r="C7">
        <v>-0.115</v>
      </c>
      <c r="D7">
        <v>4.87E-2</v>
      </c>
      <c r="E7" s="3">
        <f t="shared" si="0"/>
        <v>-2.3613963039014374</v>
      </c>
      <c r="J7">
        <v>-2.25</v>
      </c>
      <c r="K7">
        <f t="shared" ref="K7:K34" si="3">COUNTIFS($E$2:$E$53,"&lt;="&amp;J7,$E$2:$E$53,"&gt;"&amp;J7-0.15)</f>
        <v>4</v>
      </c>
      <c r="L7" t="str">
        <f t="shared" si="2"/>
        <v>[-2.25,-2.4)</v>
      </c>
    </row>
    <row r="8" spans="1:12" x14ac:dyDescent="0.25">
      <c r="A8" t="s">
        <v>5</v>
      </c>
      <c r="B8" t="s">
        <v>13</v>
      </c>
      <c r="C8">
        <v>-1.8499999999999999E-2</v>
      </c>
      <c r="D8">
        <v>7.8700000000000003E-3</v>
      </c>
      <c r="E8" s="3">
        <f t="shared" si="0"/>
        <v>-2.3506988564167726</v>
      </c>
      <c r="J8">
        <v>-2.1</v>
      </c>
      <c r="K8">
        <f t="shared" si="3"/>
        <v>6</v>
      </c>
      <c r="L8" t="str">
        <f t="shared" si="2"/>
        <v>[-2.1,-2.25)</v>
      </c>
    </row>
    <row r="9" spans="1:12" x14ac:dyDescent="0.25">
      <c r="A9" t="s">
        <v>3</v>
      </c>
      <c r="B9" t="s">
        <v>15</v>
      </c>
      <c r="C9">
        <v>-0.89300000000000002</v>
      </c>
      <c r="D9">
        <v>0.38</v>
      </c>
      <c r="E9" s="3">
        <f t="shared" si="0"/>
        <v>-2.35</v>
      </c>
      <c r="J9">
        <v>-1.95</v>
      </c>
      <c r="K9">
        <f t="shared" si="3"/>
        <v>6</v>
      </c>
      <c r="L9" t="str">
        <f t="shared" si="2"/>
        <v>[-1.95,-2.1)</v>
      </c>
    </row>
    <row r="10" spans="1:12" x14ac:dyDescent="0.25">
      <c r="A10" t="s">
        <v>2</v>
      </c>
      <c r="B10" t="s">
        <v>12</v>
      </c>
      <c r="C10">
        <v>-4.0099999999999997E-2</v>
      </c>
      <c r="D10">
        <v>1.7500000000000002E-2</v>
      </c>
      <c r="E10" s="3">
        <f t="shared" si="0"/>
        <v>-2.2914285714285709</v>
      </c>
      <c r="J10">
        <v>-1.8</v>
      </c>
      <c r="K10">
        <f t="shared" si="3"/>
        <v>4</v>
      </c>
      <c r="L10" t="str">
        <f t="shared" si="2"/>
        <v>[-1.8,-1.95)</v>
      </c>
    </row>
    <row r="11" spans="1:12" x14ac:dyDescent="0.25">
      <c r="A11" t="s">
        <v>2</v>
      </c>
      <c r="B11" t="s">
        <v>16</v>
      </c>
      <c r="C11">
        <v>-0.77500000000000002</v>
      </c>
      <c r="D11">
        <v>0.34799999999999998</v>
      </c>
      <c r="E11" s="3">
        <f t="shared" si="0"/>
        <v>-2.2270114942528738</v>
      </c>
      <c r="J11">
        <v>-1.65</v>
      </c>
      <c r="K11">
        <f t="shared" si="3"/>
        <v>3</v>
      </c>
      <c r="L11" t="str">
        <f t="shared" si="2"/>
        <v>[-1.65,-1.8)</v>
      </c>
    </row>
    <row r="12" spans="1:12" x14ac:dyDescent="0.25">
      <c r="A12" t="s">
        <v>4</v>
      </c>
      <c r="B12" t="s">
        <v>13</v>
      </c>
      <c r="C12">
        <v>-2.8400000000000002E-2</v>
      </c>
      <c r="D12">
        <v>1.2800000000000001E-2</v>
      </c>
      <c r="E12" s="3">
        <f t="shared" si="0"/>
        <v>-2.21875</v>
      </c>
      <c r="J12">
        <v>-1.5</v>
      </c>
      <c r="K12">
        <f t="shared" si="3"/>
        <v>1</v>
      </c>
      <c r="L12" t="str">
        <f t="shared" si="2"/>
        <v>[-1.5,-1.65)</v>
      </c>
    </row>
    <row r="13" spans="1:12" x14ac:dyDescent="0.25">
      <c r="A13" t="s">
        <v>3</v>
      </c>
      <c r="B13" t="s">
        <v>12</v>
      </c>
      <c r="C13">
        <v>-0.19400000000000001</v>
      </c>
      <c r="D13">
        <v>8.7800000000000003E-2</v>
      </c>
      <c r="E13" s="3">
        <f t="shared" si="0"/>
        <v>-2.2095671981776763</v>
      </c>
      <c r="J13">
        <v>-1.35</v>
      </c>
      <c r="K13">
        <f t="shared" si="3"/>
        <v>1</v>
      </c>
      <c r="L13" t="str">
        <f t="shared" si="2"/>
        <v>[-1.35,-1.5)</v>
      </c>
    </row>
    <row r="14" spans="1:12" x14ac:dyDescent="0.25">
      <c r="A14" t="s">
        <v>5</v>
      </c>
      <c r="B14" t="s">
        <v>13</v>
      </c>
      <c r="C14">
        <v>-1.8100000000000002E-2</v>
      </c>
      <c r="D14">
        <v>8.3300000000000006E-3</v>
      </c>
      <c r="E14" s="3">
        <f t="shared" si="0"/>
        <v>-2.1728691476590636</v>
      </c>
      <c r="J14">
        <v>-1.2</v>
      </c>
      <c r="K14">
        <f t="shared" si="3"/>
        <v>2</v>
      </c>
      <c r="L14" t="str">
        <f t="shared" si="2"/>
        <v>[-1.2,-1.35)</v>
      </c>
    </row>
    <row r="15" spans="1:12" x14ac:dyDescent="0.25">
      <c r="A15" t="s">
        <v>2</v>
      </c>
      <c r="B15" t="s">
        <v>16</v>
      </c>
      <c r="C15">
        <v>-0.73399999999999999</v>
      </c>
      <c r="D15">
        <v>0.34100000000000003</v>
      </c>
      <c r="E15" s="3">
        <f t="shared" si="0"/>
        <v>-2.1524926686217007</v>
      </c>
      <c r="J15">
        <v>-1.05</v>
      </c>
      <c r="K15">
        <f t="shared" si="3"/>
        <v>1</v>
      </c>
      <c r="L15" t="str">
        <f t="shared" si="2"/>
        <v>[-1.05,-1.2)</v>
      </c>
    </row>
    <row r="16" spans="1:12" x14ac:dyDescent="0.25">
      <c r="A16" t="s">
        <v>5</v>
      </c>
      <c r="B16" t="s">
        <v>13</v>
      </c>
      <c r="C16">
        <v>-1.7399999999999999E-2</v>
      </c>
      <c r="D16">
        <v>8.2500000000000004E-3</v>
      </c>
      <c r="E16" s="3">
        <f t="shared" si="0"/>
        <v>-2.1090909090909089</v>
      </c>
      <c r="J16">
        <v>-0.9</v>
      </c>
      <c r="K16">
        <f t="shared" si="3"/>
        <v>6</v>
      </c>
      <c r="L16" t="str">
        <f t="shared" si="2"/>
        <v>[-0.9,-1.05)</v>
      </c>
    </row>
    <row r="17" spans="1:12" x14ac:dyDescent="0.25">
      <c r="A17" t="s">
        <v>2</v>
      </c>
      <c r="B17" t="s">
        <v>15</v>
      </c>
      <c r="C17">
        <v>-0.17</v>
      </c>
      <c r="D17">
        <v>8.1000000000000003E-2</v>
      </c>
      <c r="E17" s="3">
        <f t="shared" si="0"/>
        <v>-2.0987654320987654</v>
      </c>
      <c r="J17">
        <v>-0.75</v>
      </c>
      <c r="K17">
        <f t="shared" si="3"/>
        <v>1</v>
      </c>
      <c r="L17" t="str">
        <f t="shared" si="2"/>
        <v>[-0.75,-0.9)</v>
      </c>
    </row>
    <row r="18" spans="1:12" x14ac:dyDescent="0.25">
      <c r="A18" t="s">
        <v>2</v>
      </c>
      <c r="B18" t="s">
        <v>15</v>
      </c>
      <c r="C18">
        <v>-0.14099999999999999</v>
      </c>
      <c r="D18">
        <v>6.83E-2</v>
      </c>
      <c r="E18" s="3">
        <f t="shared" si="0"/>
        <v>-2.0644216691068813</v>
      </c>
      <c r="J18">
        <v>-0.6</v>
      </c>
      <c r="K18">
        <f t="shared" si="3"/>
        <v>1</v>
      </c>
      <c r="L18" t="str">
        <f t="shared" si="2"/>
        <v>[-0.6,-0.75)</v>
      </c>
    </row>
    <row r="19" spans="1:12" x14ac:dyDescent="0.25">
      <c r="A19" t="s">
        <v>5</v>
      </c>
      <c r="B19" t="s">
        <v>14</v>
      </c>
      <c r="C19">
        <v>-0.27800000000000002</v>
      </c>
      <c r="D19">
        <v>0.13500000000000001</v>
      </c>
      <c r="E19" s="3">
        <f t="shared" si="0"/>
        <v>-2.0592592592592593</v>
      </c>
      <c r="J19">
        <v>-0.45</v>
      </c>
      <c r="K19">
        <f t="shared" si="3"/>
        <v>2</v>
      </c>
      <c r="L19" t="str">
        <f t="shared" si="2"/>
        <v>[-0.45,-0.6)</v>
      </c>
    </row>
    <row r="20" spans="1:12" x14ac:dyDescent="0.25">
      <c r="A20" t="s">
        <v>5</v>
      </c>
      <c r="B20" t="s">
        <v>14</v>
      </c>
      <c r="C20">
        <v>-0.27800000000000002</v>
      </c>
      <c r="D20">
        <v>0.13600000000000001</v>
      </c>
      <c r="E20" s="3">
        <f t="shared" si="0"/>
        <v>-2.0441176470588234</v>
      </c>
      <c r="J20">
        <v>-0.3</v>
      </c>
      <c r="K20">
        <f t="shared" si="3"/>
        <v>2</v>
      </c>
      <c r="L20" t="str">
        <f t="shared" si="2"/>
        <v>[-0.3,-0.45)</v>
      </c>
    </row>
    <row r="21" spans="1:12" x14ac:dyDescent="0.25">
      <c r="A21" t="s">
        <v>2</v>
      </c>
      <c r="B21" t="s">
        <v>12</v>
      </c>
      <c r="C21">
        <v>-3.5099999999999999E-2</v>
      </c>
      <c r="D21">
        <v>1.7399999999999999E-2</v>
      </c>
      <c r="E21" s="3">
        <f t="shared" si="0"/>
        <v>-2.0172413793103448</v>
      </c>
      <c r="J21">
        <v>-0.15</v>
      </c>
      <c r="K21">
        <f t="shared" si="3"/>
        <v>0</v>
      </c>
      <c r="L21" t="str">
        <f t="shared" si="2"/>
        <v>[-0.15,-0.3)</v>
      </c>
    </row>
    <row r="22" spans="1:12" x14ac:dyDescent="0.25">
      <c r="A22" t="s">
        <v>5</v>
      </c>
      <c r="B22" t="s">
        <v>14</v>
      </c>
      <c r="C22">
        <v>-0.26500000000000001</v>
      </c>
      <c r="D22">
        <v>0.13500000000000001</v>
      </c>
      <c r="E22" s="3">
        <f t="shared" si="0"/>
        <v>-1.962962962962963</v>
      </c>
      <c r="J22">
        <v>0</v>
      </c>
      <c r="K22">
        <f t="shared" si="3"/>
        <v>0</v>
      </c>
      <c r="L22" t="str">
        <f t="shared" si="2"/>
        <v>[0,-0.15)</v>
      </c>
    </row>
    <row r="23" spans="1:12" x14ac:dyDescent="0.25">
      <c r="A23" t="s">
        <v>5</v>
      </c>
      <c r="B23" t="s">
        <v>13</v>
      </c>
      <c r="C23">
        <v>-1.43E-2</v>
      </c>
      <c r="D23">
        <v>7.4799999999999997E-3</v>
      </c>
      <c r="E23" s="3">
        <f t="shared" si="0"/>
        <v>-1.911764705882353</v>
      </c>
      <c r="J23">
        <v>0.15</v>
      </c>
      <c r="K23">
        <f t="shared" si="3"/>
        <v>3</v>
      </c>
      <c r="L23" t="str">
        <f t="shared" si="2"/>
        <v>[0.15,0)</v>
      </c>
    </row>
    <row r="24" spans="1:12" x14ac:dyDescent="0.25">
      <c r="A24" t="s">
        <v>5</v>
      </c>
      <c r="B24" t="s">
        <v>15</v>
      </c>
      <c r="C24">
        <v>-5.4800000000000001E-2</v>
      </c>
      <c r="D24">
        <v>2.9399999999999999E-2</v>
      </c>
      <c r="E24" s="3">
        <f t="shared" si="0"/>
        <v>-1.8639455782312926</v>
      </c>
      <c r="J24">
        <v>0.3</v>
      </c>
      <c r="K24">
        <f t="shared" si="3"/>
        <v>0</v>
      </c>
      <c r="L24" t="str">
        <f t="shared" si="2"/>
        <v>[0.3,0.15)</v>
      </c>
    </row>
    <row r="25" spans="1:12" x14ac:dyDescent="0.25">
      <c r="A25" t="s">
        <v>4</v>
      </c>
      <c r="B25" t="s">
        <v>13</v>
      </c>
      <c r="C25">
        <v>-2.1399999999999999E-2</v>
      </c>
      <c r="D25">
        <v>1.1599999999999999E-2</v>
      </c>
      <c r="E25" s="3">
        <f t="shared" si="0"/>
        <v>-1.8448275862068966</v>
      </c>
      <c r="J25">
        <v>0.45</v>
      </c>
      <c r="K25">
        <f t="shared" si="3"/>
        <v>0</v>
      </c>
      <c r="L25" t="str">
        <f t="shared" si="2"/>
        <v>[0.45,0.3)</v>
      </c>
    </row>
    <row r="26" spans="1:12" x14ac:dyDescent="0.25">
      <c r="A26" t="s">
        <v>5</v>
      </c>
      <c r="B26" t="s">
        <v>14</v>
      </c>
      <c r="C26">
        <v>-0.249</v>
      </c>
      <c r="D26">
        <v>0.13700000000000001</v>
      </c>
      <c r="E26" s="3">
        <f t="shared" si="0"/>
        <v>-1.8175182481751824</v>
      </c>
      <c r="J26">
        <v>0.6</v>
      </c>
      <c r="K26">
        <f t="shared" si="3"/>
        <v>0</v>
      </c>
      <c r="L26" t="str">
        <f t="shared" si="2"/>
        <v>[0.6,0.45)</v>
      </c>
    </row>
    <row r="27" spans="1:12" x14ac:dyDescent="0.25">
      <c r="A27" t="s">
        <v>2</v>
      </c>
      <c r="B27" t="s">
        <v>16</v>
      </c>
      <c r="C27">
        <v>-0.68</v>
      </c>
      <c r="D27">
        <v>0.38200000000000001</v>
      </c>
      <c r="E27" s="3">
        <f t="shared" si="0"/>
        <v>-1.7801047120418849</v>
      </c>
      <c r="J27">
        <v>0.75</v>
      </c>
      <c r="K27">
        <f t="shared" si="3"/>
        <v>1</v>
      </c>
      <c r="L27" t="str">
        <f t="shared" si="2"/>
        <v>[0.75,0.6)</v>
      </c>
    </row>
    <row r="28" spans="1:12" x14ac:dyDescent="0.25">
      <c r="A28" t="s">
        <v>3</v>
      </c>
      <c r="B28" t="s">
        <v>15</v>
      </c>
      <c r="C28">
        <v>-0.55500000000000005</v>
      </c>
      <c r="D28">
        <v>0.312</v>
      </c>
      <c r="E28" s="3">
        <f t="shared" si="0"/>
        <v>-1.778846153846154</v>
      </c>
      <c r="J28">
        <v>0.9</v>
      </c>
      <c r="K28">
        <f t="shared" si="3"/>
        <v>1</v>
      </c>
      <c r="L28" t="str">
        <f t="shared" si="2"/>
        <v>[0.9,0.75)</v>
      </c>
    </row>
    <row r="29" spans="1:12" x14ac:dyDescent="0.25">
      <c r="A29" t="s">
        <v>5</v>
      </c>
      <c r="B29" t="s">
        <v>15</v>
      </c>
      <c r="C29">
        <v>-4.7899999999999998E-2</v>
      </c>
      <c r="D29">
        <v>2.7699999999999999E-2</v>
      </c>
      <c r="E29" s="3">
        <f t="shared" si="0"/>
        <v>-1.7292418772563176</v>
      </c>
      <c r="J29">
        <v>1.05</v>
      </c>
      <c r="K29">
        <f t="shared" si="3"/>
        <v>0</v>
      </c>
      <c r="L29" t="str">
        <f t="shared" si="2"/>
        <v>[1.05,0.9)</v>
      </c>
    </row>
    <row r="30" spans="1:12" x14ac:dyDescent="0.25">
      <c r="A30" t="s">
        <v>3</v>
      </c>
      <c r="B30" t="s">
        <v>12</v>
      </c>
      <c r="C30">
        <v>-0.111</v>
      </c>
      <c r="D30">
        <v>6.7500000000000004E-2</v>
      </c>
      <c r="E30" s="3">
        <f t="shared" si="0"/>
        <v>-1.6444444444444444</v>
      </c>
      <c r="J30">
        <v>1.2</v>
      </c>
      <c r="K30">
        <f t="shared" si="3"/>
        <v>0</v>
      </c>
      <c r="L30" t="str">
        <f t="shared" si="2"/>
        <v>[1.2,1.05)</v>
      </c>
    </row>
    <row r="31" spans="1:12" x14ac:dyDescent="0.25">
      <c r="A31" t="s">
        <v>5</v>
      </c>
      <c r="B31" t="s">
        <v>15</v>
      </c>
      <c r="C31">
        <v>-4.6899999999999997E-2</v>
      </c>
      <c r="D31">
        <v>3.4099999999999998E-2</v>
      </c>
      <c r="E31" s="3">
        <f t="shared" si="0"/>
        <v>-1.3753665689149559</v>
      </c>
      <c r="J31">
        <v>1.35</v>
      </c>
      <c r="K31">
        <f t="shared" si="3"/>
        <v>1</v>
      </c>
      <c r="L31" t="str">
        <f t="shared" si="2"/>
        <v>[1.35,1.2)</v>
      </c>
    </row>
    <row r="32" spans="1:12" x14ac:dyDescent="0.25">
      <c r="A32" t="s">
        <v>5</v>
      </c>
      <c r="B32" t="s">
        <v>15</v>
      </c>
      <c r="C32">
        <v>-4.5600000000000002E-2</v>
      </c>
      <c r="D32">
        <v>3.4099999999999998E-2</v>
      </c>
      <c r="E32" s="3">
        <f t="shared" si="0"/>
        <v>-1.3372434017595309</v>
      </c>
      <c r="J32">
        <v>1.5</v>
      </c>
      <c r="K32">
        <f t="shared" si="3"/>
        <v>1</v>
      </c>
      <c r="L32" t="str">
        <f t="shared" si="2"/>
        <v>[1.5,1.35)</v>
      </c>
    </row>
    <row r="33" spans="1:12" x14ac:dyDescent="0.25">
      <c r="A33" t="s">
        <v>3</v>
      </c>
      <c r="B33" t="s">
        <v>12</v>
      </c>
      <c r="C33">
        <v>-7.3400000000000007E-2</v>
      </c>
      <c r="D33">
        <v>5.8999999999999997E-2</v>
      </c>
      <c r="E33" s="3">
        <f t="shared" si="0"/>
        <v>-1.2440677966101696</v>
      </c>
      <c r="J33">
        <v>1.65</v>
      </c>
      <c r="K33">
        <f t="shared" si="3"/>
        <v>0</v>
      </c>
      <c r="L33" t="str">
        <f t="shared" si="2"/>
        <v>[1.65,1.5)</v>
      </c>
    </row>
    <row r="34" spans="1:12" ht="15.75" thickBot="1" x14ac:dyDescent="0.3">
      <c r="A34" t="s">
        <v>3</v>
      </c>
      <c r="B34" t="s">
        <v>13</v>
      </c>
      <c r="C34">
        <v>-9.5699999999999993E-2</v>
      </c>
      <c r="D34">
        <v>8.7800000000000003E-2</v>
      </c>
      <c r="E34" s="3">
        <f t="shared" ref="E34:E65" si="4">C34/D34</f>
        <v>-1.0899772209567198</v>
      </c>
      <c r="J34" s="1" t="s">
        <v>8</v>
      </c>
      <c r="K34">
        <f t="shared" si="3"/>
        <v>0</v>
      </c>
      <c r="L34" t="s">
        <v>8</v>
      </c>
    </row>
    <row r="35" spans="1:12" x14ac:dyDescent="0.25">
      <c r="A35" t="s">
        <v>2</v>
      </c>
      <c r="B35" t="s">
        <v>13</v>
      </c>
      <c r="C35">
        <v>-1.54E-2</v>
      </c>
      <c r="D35">
        <v>1.47E-2</v>
      </c>
      <c r="E35" s="3">
        <f t="shared" si="4"/>
        <v>-1.0476190476190477</v>
      </c>
    </row>
    <row r="36" spans="1:12" x14ac:dyDescent="0.25">
      <c r="A36" t="s">
        <v>2</v>
      </c>
      <c r="B36" t="s">
        <v>13</v>
      </c>
      <c r="C36">
        <v>-1.6299999999999999E-2</v>
      </c>
      <c r="D36">
        <v>1.5699999999999999E-2</v>
      </c>
      <c r="E36" s="3">
        <f t="shared" si="4"/>
        <v>-1.0382165605095541</v>
      </c>
    </row>
    <row r="37" spans="1:12" x14ac:dyDescent="0.25">
      <c r="A37" t="s">
        <v>4</v>
      </c>
      <c r="B37" t="s">
        <v>15</v>
      </c>
      <c r="C37">
        <v>-7.5300000000000006E-2</v>
      </c>
      <c r="D37">
        <v>7.4700000000000003E-2</v>
      </c>
      <c r="E37" s="3">
        <f t="shared" si="4"/>
        <v>-1.0080321285140563</v>
      </c>
    </row>
    <row r="38" spans="1:12" x14ac:dyDescent="0.25">
      <c r="A38" t="s">
        <v>2</v>
      </c>
      <c r="B38" t="s">
        <v>13</v>
      </c>
      <c r="C38">
        <v>-1.41E-2</v>
      </c>
      <c r="D38">
        <v>1.43E-2</v>
      </c>
      <c r="E38" s="3">
        <f t="shared" si="4"/>
        <v>-0.98601398601398593</v>
      </c>
    </row>
    <row r="39" spans="1:12" x14ac:dyDescent="0.25">
      <c r="A39" t="s">
        <v>4</v>
      </c>
      <c r="B39" t="s">
        <v>12</v>
      </c>
      <c r="C39">
        <v>-1.8499999999999999E-2</v>
      </c>
      <c r="D39">
        <v>1.9699999999999999E-2</v>
      </c>
      <c r="E39" s="3">
        <f t="shared" si="4"/>
        <v>-0.93908629441624369</v>
      </c>
    </row>
    <row r="40" spans="1:12" x14ac:dyDescent="0.25">
      <c r="A40" t="s">
        <v>4</v>
      </c>
      <c r="B40" t="s">
        <v>15</v>
      </c>
      <c r="C40">
        <v>-7.8899999999999998E-2</v>
      </c>
      <c r="D40">
        <v>8.72E-2</v>
      </c>
      <c r="E40" s="3">
        <f t="shared" si="4"/>
        <v>-0.90481651376146788</v>
      </c>
    </row>
    <row r="41" spans="1:12" x14ac:dyDescent="0.25">
      <c r="A41" t="s">
        <v>4</v>
      </c>
      <c r="B41" t="s">
        <v>12</v>
      </c>
      <c r="C41">
        <v>-1.47E-2</v>
      </c>
      <c r="D41">
        <v>1.77E-2</v>
      </c>
      <c r="E41" s="3">
        <f t="shared" si="4"/>
        <v>-0.83050847457627108</v>
      </c>
    </row>
    <row r="42" spans="1:12" x14ac:dyDescent="0.25">
      <c r="A42" t="s">
        <v>3</v>
      </c>
      <c r="B42" t="s">
        <v>16</v>
      </c>
      <c r="C42">
        <v>-0.69299999999999995</v>
      </c>
      <c r="D42">
        <v>1.046</v>
      </c>
      <c r="E42" s="3">
        <f t="shared" si="4"/>
        <v>-0.66252390057361366</v>
      </c>
    </row>
    <row r="43" spans="1:12" x14ac:dyDescent="0.25">
      <c r="A43" t="s">
        <v>4</v>
      </c>
      <c r="B43" t="s">
        <v>12</v>
      </c>
      <c r="C43">
        <v>-1.04E-2</v>
      </c>
      <c r="D43">
        <v>1.8700000000000001E-2</v>
      </c>
      <c r="E43" s="3">
        <f t="shared" si="4"/>
        <v>-0.55614973262032075</v>
      </c>
    </row>
    <row r="44" spans="1:12" x14ac:dyDescent="0.25">
      <c r="A44" t="s">
        <v>3</v>
      </c>
      <c r="B44" t="s">
        <v>15</v>
      </c>
      <c r="C44">
        <v>-5.8099999999999999E-2</v>
      </c>
      <c r="D44">
        <v>0.113</v>
      </c>
      <c r="E44" s="3">
        <f t="shared" si="4"/>
        <v>-0.51415929203539823</v>
      </c>
    </row>
    <row r="45" spans="1:12" x14ac:dyDescent="0.25">
      <c r="A45" t="s">
        <v>3</v>
      </c>
      <c r="B45" t="s">
        <v>16</v>
      </c>
      <c r="C45">
        <v>-0.61699999999999999</v>
      </c>
      <c r="D45">
        <v>1.7050000000000001</v>
      </c>
      <c r="E45" s="3">
        <f t="shared" si="4"/>
        <v>-0.36187683284457478</v>
      </c>
    </row>
    <row r="46" spans="1:12" x14ac:dyDescent="0.25">
      <c r="A46" t="s">
        <v>3</v>
      </c>
      <c r="B46" t="s">
        <v>13</v>
      </c>
      <c r="C46">
        <v>-2.3099999999999999E-2</v>
      </c>
      <c r="D46">
        <v>6.3899999999999998E-2</v>
      </c>
      <c r="E46" s="3">
        <f t="shared" si="4"/>
        <v>-0.36150234741784038</v>
      </c>
    </row>
    <row r="47" spans="1:12" x14ac:dyDescent="0.25">
      <c r="A47" t="s">
        <v>3</v>
      </c>
      <c r="B47" t="s">
        <v>16</v>
      </c>
      <c r="C47">
        <v>2.8799999999999999E-2</v>
      </c>
      <c r="D47">
        <v>0.96699999999999997</v>
      </c>
      <c r="E47" s="3">
        <f t="shared" si="4"/>
        <v>2.9782833505687695E-2</v>
      </c>
    </row>
    <row r="48" spans="1:12" x14ac:dyDescent="0.25">
      <c r="A48" t="s">
        <v>3</v>
      </c>
      <c r="B48" t="s">
        <v>13</v>
      </c>
      <c r="C48">
        <v>4.4600000000000004E-3</v>
      </c>
      <c r="D48">
        <v>5.0900000000000001E-2</v>
      </c>
      <c r="E48" s="3">
        <f t="shared" si="4"/>
        <v>8.7622789783889987E-2</v>
      </c>
    </row>
    <row r="49" spans="1:5" x14ac:dyDescent="0.25">
      <c r="A49" t="s">
        <v>4</v>
      </c>
      <c r="B49" t="s">
        <v>15</v>
      </c>
      <c r="C49">
        <v>4.5500000000000002E-3</v>
      </c>
      <c r="D49">
        <v>4.6399999999999997E-2</v>
      </c>
      <c r="E49" s="3">
        <f t="shared" si="4"/>
        <v>9.8060344827586216E-2</v>
      </c>
    </row>
    <row r="50" spans="1:5" x14ac:dyDescent="0.25">
      <c r="A50" t="s">
        <v>4</v>
      </c>
      <c r="B50" t="s">
        <v>13</v>
      </c>
      <c r="C50">
        <v>1.43E-2</v>
      </c>
      <c r="D50">
        <v>2.0899999999999998E-2</v>
      </c>
      <c r="E50" s="3">
        <f t="shared" si="4"/>
        <v>0.68421052631578949</v>
      </c>
    </row>
    <row r="51" spans="1:5" x14ac:dyDescent="0.25">
      <c r="A51" t="s">
        <v>4</v>
      </c>
      <c r="B51" t="s">
        <v>16</v>
      </c>
      <c r="C51">
        <v>0.25</v>
      </c>
      <c r="D51">
        <v>0.27900000000000003</v>
      </c>
      <c r="E51" s="3">
        <f t="shared" si="4"/>
        <v>0.8960573476702508</v>
      </c>
    </row>
    <row r="52" spans="1:5" x14ac:dyDescent="0.25">
      <c r="A52" t="s">
        <v>4</v>
      </c>
      <c r="B52" t="s">
        <v>16</v>
      </c>
      <c r="C52">
        <v>5.1799999999999999E-2</v>
      </c>
      <c r="D52">
        <v>3.9699999999999999E-2</v>
      </c>
      <c r="E52" s="3">
        <f t="shared" si="4"/>
        <v>1.3047858942065491</v>
      </c>
    </row>
    <row r="53" spans="1:5" x14ac:dyDescent="0.25">
      <c r="A53" t="s">
        <v>4</v>
      </c>
      <c r="B53" t="s">
        <v>16</v>
      </c>
      <c r="C53">
        <v>0.32400000000000001</v>
      </c>
      <c r="D53">
        <v>0.23599999999999999</v>
      </c>
      <c r="E53" s="3">
        <f t="shared" si="4"/>
        <v>1.3728813559322035</v>
      </c>
    </row>
  </sheetData>
  <autoFilter ref="A1:E1" xr:uid="{E58B3CA9-E067-4B2F-BF83-E767AC96FA8E}">
    <sortState xmlns:xlrd2="http://schemas.microsoft.com/office/spreadsheetml/2017/richdata2" ref="A2:E53">
      <sortCondition ref="E1"/>
    </sortState>
  </autoFilter>
  <sortState xmlns:xlrd2="http://schemas.microsoft.com/office/spreadsheetml/2017/richdata2" ref="J2:J33">
    <sortCondition ref="J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HH_subj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Poramapa Poonpakdee</dc:creator>
  <cp:lastModifiedBy>Poramapa Poonpakdee</cp:lastModifiedBy>
  <dcterms:created xsi:type="dcterms:W3CDTF">2025-08-09T20:12:00Z</dcterms:created>
  <dcterms:modified xsi:type="dcterms:W3CDTF">2026-01-10T15:34:17Z</dcterms:modified>
</cp:coreProperties>
</file>